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lda\Desktop\stage\"/>
    </mc:Choice>
  </mc:AlternateContent>
  <xr:revisionPtr revIDLastSave="0" documentId="13_ncr:1_{83EC8FEA-1B57-4B44-9A6A-F73867E5217E}" xr6:coauthVersionLast="47" xr6:coauthVersionMax="47" xr10:uidLastSave="{00000000-0000-0000-0000-000000000000}"/>
  <bookViews>
    <workbookView xWindow="-110" yWindow="-110" windowWidth="19420" windowHeight="11500" xr2:uid="{F3F7F609-EFA2-45A9-BEDD-85161C57C4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C26" i="1"/>
  <c r="D25" i="1"/>
  <c r="C25" i="1"/>
  <c r="D24" i="1"/>
  <c r="C24" i="1"/>
  <c r="D23" i="1"/>
  <c r="C23" i="1"/>
  <c r="C29" i="1" l="1"/>
  <c r="D29" i="1"/>
</calcChain>
</file>

<file path=xl/sharedStrings.xml><?xml version="1.0" encoding="utf-8"?>
<sst xmlns="http://schemas.openxmlformats.org/spreadsheetml/2006/main" count="111" uniqueCount="73">
  <si>
    <t>Action eco conception</t>
  </si>
  <si>
    <t>Projet 1</t>
  </si>
  <si>
    <t>Projet 2</t>
  </si>
  <si>
    <t>Faisabilité technique</t>
  </si>
  <si>
    <t>Conséquences utilisateur</t>
  </si>
  <si>
    <t>Conséquences Dev</t>
  </si>
  <si>
    <t>Risque potentiel</t>
  </si>
  <si>
    <t>Critère</t>
  </si>
  <si>
    <t>Famille</t>
  </si>
  <si>
    <t>Interface</t>
  </si>
  <si>
    <t>Une stratégie de compatibilité avec les terminaux et versions logicielles obsolètes est-elle définie ?</t>
  </si>
  <si>
    <t>Dès la conception, le service répond-t-il aux normes d'accessibilité en vigueur (au minimum) ?</t>
  </si>
  <si>
    <t>Une sobriété visuelle est-elle mise en place, pour limiter les ressources énergétiques et l'impact sur la dégradation matérielle des composants visuels, sonores et tactiles constitutifs de l'interface ?</t>
  </si>
  <si>
    <t>Une politique de gestion/utilisation des médias afin de réduire leurs impacts est-elle en place, avec des critères de compression et de formats des médias ?</t>
  </si>
  <si>
    <t>Le nombre de polices de caractères (fonts) et les variantes de polices appelées sont-ils limités ?</t>
  </si>
  <si>
    <t>Le service évite-t-il les Dark Patterns ? (ex : force continuity, infinite scroll…)</t>
  </si>
  <si>
    <t>Contenus</t>
  </si>
  <si>
    <t>Est-ce que les images ont été compressées en amont dans un format adapté pour sa visualisation ?</t>
  </si>
  <si>
    <t>Est-ce que l'information portée par la vidéo peut être remplacée par une alternative (infographie...) ?</t>
  </si>
  <si>
    <t>Les documents à télécharger sont-ils compressés, optimisés et accessibles ?</t>
  </si>
  <si>
    <t>Est-ce que les fonctionnalités couvertes par des actions locales (côté client) sont privilégiées plutôt que des échanges API ?</t>
  </si>
  <si>
    <t>Front End</t>
  </si>
  <si>
    <t>La plage de rétro-compatibilité est-elle définie ? La liste des équipements est-elle mise à jour ?</t>
  </si>
  <si>
    <t>Les objets de cartographie, animations, vidéos sont-ils présentés dans un mode statique ?</t>
  </si>
  <si>
    <t>Une version épurée est-elle disponible pour les impressions ?</t>
  </si>
  <si>
    <t>Est-ce que le nombre de requêtes est minimisé (proscrire l'usage de boucle) ?</t>
  </si>
  <si>
    <t>Back End</t>
  </si>
  <si>
    <t>Les fonctionnalités sont-elles documentées pour permettre leur réutilisation ?</t>
  </si>
  <si>
    <t>Est-ce que les données échangées sont compressées / minifiées avant transmission ?</t>
  </si>
  <si>
    <t>ok</t>
  </si>
  <si>
    <t>un peu</t>
  </si>
  <si>
    <t>non</t>
  </si>
  <si>
    <t xml:space="preserve">Total </t>
  </si>
  <si>
    <t>na</t>
  </si>
  <si>
    <t>Code fragile, dette technique</t>
  </si>
  <si>
    <t>Aucun impact</t>
  </si>
  <si>
    <t>Réutilisation difficile</t>
  </si>
  <si>
    <t>Lenteur en production</t>
  </si>
  <si>
    <t>Modérée</t>
  </si>
  <si>
    <t xml:space="preserve">Facile </t>
  </si>
  <si>
    <t>Facile</t>
  </si>
  <si>
    <t>Zéro maintenance</t>
  </si>
  <si>
    <t>Épuisement batterie</t>
  </si>
  <si>
    <t>Ralentissement de quelques secondes, batterie se vide plus vite</t>
  </si>
  <si>
    <t>Améliorations de la maintenance, baisse des bugs</t>
  </si>
  <si>
    <t>Données volumineuses, batterie se vide plus vite</t>
  </si>
  <si>
    <t>Complexe</t>
  </si>
  <si>
    <t>Risque de bugs et ralentissements sur les anciens smartphones</t>
  </si>
  <si>
    <t>Tests supplémentaires requis sur des simulateurs de vieux télephones</t>
  </si>
  <si>
    <t xml:space="preserve">Audio présent, mais barrière pour la vision </t>
  </si>
  <si>
    <t>Exclusion d'une partie des utilisatrices</t>
  </si>
  <si>
    <t>Exclusion d'utilisatrices ayant un très vieux téléphone</t>
  </si>
  <si>
    <t>Meilleure concentration et économie de batterie</t>
  </si>
  <si>
    <t>Gain de temps au développement</t>
  </si>
  <si>
    <t>Design perçu trop "vide"</t>
  </si>
  <si>
    <t>Application lourde</t>
  </si>
  <si>
    <t>Ralentissement du chargement et surconsommation de données mobiles</t>
  </si>
  <si>
    <t>Consommation d'énergie inutile</t>
  </si>
  <si>
    <t>Dette technique</t>
  </si>
  <si>
    <t>Incohérence visuelle de l'application</t>
  </si>
  <si>
    <t>Moins de fonctionnalités complexes à coder</t>
  </si>
  <si>
    <t>Expérience saine, contrôle du temps passé sur l'application par l'utilisatrice</t>
  </si>
  <si>
    <t xml:space="preserve">Temps de session plus court passé sur l'application </t>
  </si>
  <si>
    <t>Accéssibilité  du contenu même en cas de problème</t>
  </si>
  <si>
    <t>Charge de rédaction de contenus (description des vidéos/images)</t>
  </si>
  <si>
    <t>Aucun risque</t>
  </si>
  <si>
    <t>Fluidité instantanée et réduction du temps d'attente</t>
  </si>
  <si>
    <t>Soulagement du serveur</t>
  </si>
  <si>
    <t>Retravailler l'interface</t>
  </si>
  <si>
    <t>Désinstallation de l'application si elle prend trop de place</t>
  </si>
  <si>
    <t>Chargement fluide et économie de données mobiles</t>
  </si>
  <si>
    <t>Directives claires pour l'équipe pédagogique</t>
  </si>
  <si>
    <t xml:space="preserve">Passer plus de temps pour la vérification des médias lors de la création de contenu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</si>
</sst>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0" xfId="0" quotePrefix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0" xfId="0" applyBorder="1"/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20"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6020-4363-48D0-9C47-423EA9665F90}">
  <dimension ref="A2:N29"/>
  <sheetViews>
    <sheetView tabSelected="1" topLeftCell="A4" zoomScale="41" zoomScaleNormal="125" workbookViewId="0">
      <selection activeCell="A31" sqref="A31"/>
    </sheetView>
  </sheetViews>
  <sheetFormatPr baseColWidth="10" defaultRowHeight="14.5" x14ac:dyDescent="0.35"/>
  <cols>
    <col min="1" max="1" width="119.6328125" customWidth="1"/>
    <col min="2" max="2" width="13.36328125" customWidth="1"/>
    <col min="3" max="3" width="9" customWidth="1"/>
    <col min="4" max="4" width="9.453125" customWidth="1"/>
    <col min="5" max="5" width="23" style="1" customWidth="1"/>
    <col min="6" max="6" width="29.453125" customWidth="1"/>
    <col min="7" max="7" width="37.6328125" customWidth="1"/>
    <col min="8" max="8" width="27" customWidth="1"/>
  </cols>
  <sheetData>
    <row r="2" spans="1:14" x14ac:dyDescent="0.35">
      <c r="B2" s="1"/>
    </row>
    <row r="3" spans="1:14" x14ac:dyDescent="0.35">
      <c r="A3" s="29" t="s">
        <v>0</v>
      </c>
      <c r="B3" s="29"/>
      <c r="C3" s="27" t="s">
        <v>1</v>
      </c>
      <c r="D3" s="27" t="s">
        <v>2</v>
      </c>
      <c r="E3" s="27" t="s">
        <v>3</v>
      </c>
      <c r="F3" s="27" t="s">
        <v>4</v>
      </c>
      <c r="G3" s="27" t="s">
        <v>5</v>
      </c>
      <c r="H3" s="27" t="s">
        <v>6</v>
      </c>
    </row>
    <row r="4" spans="1:14" x14ac:dyDescent="0.35">
      <c r="A4" s="25" t="s">
        <v>7</v>
      </c>
      <c r="B4" s="3" t="s">
        <v>8</v>
      </c>
      <c r="C4" s="28"/>
      <c r="D4" s="28"/>
      <c r="E4" s="28"/>
      <c r="F4" s="28"/>
      <c r="G4" s="28"/>
      <c r="H4" s="27"/>
    </row>
    <row r="5" spans="1:14" ht="55.5" customHeight="1" x14ac:dyDescent="0.35">
      <c r="A5" s="19" t="s">
        <v>10</v>
      </c>
      <c r="B5" s="8" t="s">
        <v>9</v>
      </c>
      <c r="C5" s="9" t="s">
        <v>30</v>
      </c>
      <c r="D5" s="9"/>
      <c r="E5" s="26" t="s">
        <v>46</v>
      </c>
      <c r="F5" s="26" t="s">
        <v>47</v>
      </c>
      <c r="G5" s="26" t="s">
        <v>48</v>
      </c>
      <c r="H5" s="26" t="s">
        <v>51</v>
      </c>
    </row>
    <row r="6" spans="1:14" ht="53.5" customHeight="1" x14ac:dyDescent="0.35">
      <c r="A6" s="19" t="s">
        <v>11</v>
      </c>
      <c r="B6" s="8" t="s">
        <v>9</v>
      </c>
      <c r="C6" s="9" t="s">
        <v>30</v>
      </c>
      <c r="D6" s="9"/>
      <c r="E6" s="26" t="s">
        <v>38</v>
      </c>
      <c r="F6" s="26" t="s">
        <v>49</v>
      </c>
      <c r="G6" s="26" t="s">
        <v>68</v>
      </c>
      <c r="H6" s="26" t="s">
        <v>50</v>
      </c>
    </row>
    <row r="7" spans="1:14" ht="42.5" customHeight="1" x14ac:dyDescent="0.35">
      <c r="A7" s="19" t="s">
        <v>12</v>
      </c>
      <c r="B7" s="8" t="s">
        <v>9</v>
      </c>
      <c r="C7" s="9" t="s">
        <v>29</v>
      </c>
      <c r="D7" s="9"/>
      <c r="E7" s="26" t="s">
        <v>40</v>
      </c>
      <c r="F7" s="26" t="s">
        <v>52</v>
      </c>
      <c r="G7" s="26" t="s">
        <v>53</v>
      </c>
      <c r="H7" s="26" t="s">
        <v>54</v>
      </c>
    </row>
    <row r="8" spans="1:14" ht="65" customHeight="1" x14ac:dyDescent="0.35">
      <c r="A8" s="19" t="s">
        <v>13</v>
      </c>
      <c r="B8" s="8" t="s">
        <v>9</v>
      </c>
      <c r="C8" s="9" t="s">
        <v>29</v>
      </c>
      <c r="D8" s="9"/>
      <c r="E8" s="26" t="s">
        <v>40</v>
      </c>
      <c r="F8" s="26" t="s">
        <v>70</v>
      </c>
      <c r="G8" s="26" t="s">
        <v>71</v>
      </c>
      <c r="H8" s="26" t="s">
        <v>72</v>
      </c>
    </row>
    <row r="9" spans="1:14" ht="54.5" customHeight="1" x14ac:dyDescent="0.35">
      <c r="A9" s="19" t="s">
        <v>14</v>
      </c>
      <c r="B9" s="8" t="s">
        <v>9</v>
      </c>
      <c r="C9" s="9" t="s">
        <v>31</v>
      </c>
      <c r="D9" s="9"/>
      <c r="E9" s="26" t="s">
        <v>40</v>
      </c>
      <c r="F9" s="26" t="s">
        <v>57</v>
      </c>
      <c r="G9" s="26" t="s">
        <v>58</v>
      </c>
      <c r="H9" s="26" t="s">
        <v>59</v>
      </c>
    </row>
    <row r="10" spans="1:14" ht="69" customHeight="1" x14ac:dyDescent="0.35">
      <c r="A10" s="19" t="s">
        <v>15</v>
      </c>
      <c r="B10" s="8" t="s">
        <v>9</v>
      </c>
      <c r="C10" s="9" t="s">
        <v>29</v>
      </c>
      <c r="D10" s="9"/>
      <c r="E10" s="26" t="s">
        <v>40</v>
      </c>
      <c r="F10" s="26" t="s">
        <v>61</v>
      </c>
      <c r="G10" s="26" t="s">
        <v>60</v>
      </c>
      <c r="H10" s="26" t="s">
        <v>62</v>
      </c>
    </row>
    <row r="11" spans="1:14" s="21" customFormat="1" ht="15" thickBot="1" x14ac:dyDescent="0.4">
      <c r="A11" s="11"/>
      <c r="B11" s="11" t="s">
        <v>9</v>
      </c>
      <c r="C11" s="12"/>
      <c r="D11" s="12"/>
      <c r="E11" s="32"/>
      <c r="F11" s="32"/>
      <c r="G11" s="32"/>
      <c r="H11" s="32"/>
    </row>
    <row r="12" spans="1:14" ht="72.5" customHeight="1" thickBot="1" x14ac:dyDescent="0.4">
      <c r="A12" s="19" t="s">
        <v>17</v>
      </c>
      <c r="B12" s="8" t="s">
        <v>16</v>
      </c>
      <c r="C12" s="9" t="s">
        <v>31</v>
      </c>
      <c r="D12" s="9"/>
      <c r="E12" s="30" t="s">
        <v>40</v>
      </c>
      <c r="F12" s="30" t="s">
        <v>56</v>
      </c>
      <c r="G12" s="30" t="s">
        <v>55</v>
      </c>
      <c r="H12" s="30" t="s">
        <v>69</v>
      </c>
      <c r="N12" s="21"/>
    </row>
    <row r="13" spans="1:14" ht="48.5" customHeight="1" x14ac:dyDescent="0.35">
      <c r="A13" s="19" t="s">
        <v>18</v>
      </c>
      <c r="B13" s="8" t="s">
        <v>16</v>
      </c>
      <c r="C13" s="9" t="s">
        <v>29</v>
      </c>
      <c r="D13" s="9"/>
      <c r="E13" s="26" t="s">
        <v>40</v>
      </c>
      <c r="F13" s="26" t="s">
        <v>63</v>
      </c>
      <c r="G13" s="26" t="s">
        <v>64</v>
      </c>
      <c r="H13" s="26" t="s">
        <v>65</v>
      </c>
    </row>
    <row r="14" spans="1:14" ht="15" thickBot="1" x14ac:dyDescent="0.4">
      <c r="A14" s="23" t="s">
        <v>19</v>
      </c>
      <c r="B14" s="16" t="s">
        <v>16</v>
      </c>
      <c r="C14" s="4" t="s">
        <v>33</v>
      </c>
      <c r="D14" s="4"/>
      <c r="E14" s="32"/>
      <c r="F14" s="32"/>
      <c r="G14" s="32"/>
      <c r="H14" s="32"/>
    </row>
    <row r="15" spans="1:14" s="24" customFormat="1" ht="43.5" customHeight="1" x14ac:dyDescent="0.35">
      <c r="A15" s="17" t="s">
        <v>20</v>
      </c>
      <c r="B15" s="5" t="s">
        <v>21</v>
      </c>
      <c r="C15" s="6" t="s">
        <v>30</v>
      </c>
      <c r="D15" s="6"/>
      <c r="E15" s="30" t="s">
        <v>38</v>
      </c>
      <c r="F15" s="30" t="s">
        <v>66</v>
      </c>
      <c r="G15" s="30" t="s">
        <v>67</v>
      </c>
      <c r="H15" s="30" t="s">
        <v>65</v>
      </c>
    </row>
    <row r="16" spans="1:14" x14ac:dyDescent="0.35">
      <c r="A16" s="7" t="s">
        <v>22</v>
      </c>
      <c r="B16" s="8" t="s">
        <v>21</v>
      </c>
      <c r="C16" s="9" t="s">
        <v>33</v>
      </c>
      <c r="D16" s="9"/>
      <c r="E16" s="10"/>
      <c r="F16" s="8"/>
      <c r="G16" s="8"/>
      <c r="H16" s="8"/>
    </row>
    <row r="17" spans="1:8" x14ac:dyDescent="0.35">
      <c r="A17" s="7" t="s">
        <v>23</v>
      </c>
      <c r="B17" s="8" t="s">
        <v>21</v>
      </c>
      <c r="C17" s="9" t="s">
        <v>33</v>
      </c>
      <c r="D17" s="9"/>
      <c r="E17" s="10"/>
      <c r="F17" s="8"/>
      <c r="G17" s="8"/>
      <c r="H17" s="8"/>
    </row>
    <row r="18" spans="1:8" s="21" customFormat="1" ht="15" thickBot="1" x14ac:dyDescent="0.4">
      <c r="A18" s="18" t="s">
        <v>24</v>
      </c>
      <c r="B18" s="11" t="s">
        <v>21</v>
      </c>
      <c r="C18" s="12" t="s">
        <v>33</v>
      </c>
      <c r="D18" s="12"/>
      <c r="E18" s="13"/>
      <c r="F18" s="11"/>
      <c r="G18" s="11"/>
      <c r="H18" s="11"/>
    </row>
    <row r="19" spans="1:8" ht="51" customHeight="1" x14ac:dyDescent="0.35">
      <c r="A19" s="20" t="s">
        <v>25</v>
      </c>
      <c r="B19" s="14" t="s">
        <v>26</v>
      </c>
      <c r="C19" s="9" t="s">
        <v>30</v>
      </c>
      <c r="D19" s="15"/>
      <c r="E19" s="30" t="s">
        <v>38</v>
      </c>
      <c r="F19" s="26" t="s">
        <v>43</v>
      </c>
      <c r="G19" s="31" t="s">
        <v>34</v>
      </c>
      <c r="H19" s="30" t="s">
        <v>37</v>
      </c>
    </row>
    <row r="20" spans="1:8" ht="29" x14ac:dyDescent="0.35">
      <c r="A20" s="19" t="s">
        <v>27</v>
      </c>
      <c r="B20" s="8" t="s">
        <v>26</v>
      </c>
      <c r="C20" s="9" t="s">
        <v>30</v>
      </c>
      <c r="D20" s="9"/>
      <c r="E20" s="9" t="s">
        <v>39</v>
      </c>
      <c r="F20" s="26" t="s">
        <v>35</v>
      </c>
      <c r="G20" s="26" t="s">
        <v>44</v>
      </c>
      <c r="H20" s="26" t="s">
        <v>36</v>
      </c>
    </row>
    <row r="21" spans="1:8" ht="29" x14ac:dyDescent="0.35">
      <c r="A21" s="19" t="s">
        <v>28</v>
      </c>
      <c r="B21" s="8" t="s">
        <v>26</v>
      </c>
      <c r="C21" s="9" t="s">
        <v>31</v>
      </c>
      <c r="D21" s="9"/>
      <c r="E21" s="9" t="s">
        <v>40</v>
      </c>
      <c r="F21" s="26" t="s">
        <v>45</v>
      </c>
      <c r="G21" s="26" t="s">
        <v>41</v>
      </c>
      <c r="H21" s="26" t="s">
        <v>42</v>
      </c>
    </row>
    <row r="22" spans="1:8" x14ac:dyDescent="0.35">
      <c r="C22" s="2"/>
      <c r="D22" s="2"/>
    </row>
    <row r="23" spans="1:8" ht="15" thickBot="1" x14ac:dyDescent="0.4">
      <c r="B23" s="12" t="s">
        <v>29</v>
      </c>
      <c r="C23" s="1">
        <f>COUNTIF(C1:C21, "ok")</f>
        <v>4</v>
      </c>
      <c r="D23" s="1">
        <f>COUNTIF(D1:D21, "ok")</f>
        <v>0</v>
      </c>
    </row>
    <row r="24" spans="1:8" x14ac:dyDescent="0.35">
      <c r="B24" s="9" t="s">
        <v>30</v>
      </c>
      <c r="C24" s="22">
        <f>COUNTIF(C1:C21, "un peu")</f>
        <v>5</v>
      </c>
      <c r="D24" s="22">
        <f>COUNTIF(D1:D21, "un peu")</f>
        <v>0</v>
      </c>
    </row>
    <row r="25" spans="1:8" ht="15" thickBot="1" x14ac:dyDescent="0.4">
      <c r="B25" s="9" t="s">
        <v>31</v>
      </c>
      <c r="C25" s="22">
        <f>COUNTIF(C1:C21, "non")</f>
        <v>3</v>
      </c>
      <c r="D25" s="22">
        <f>COUNTIF(D1:D21, "non")</f>
        <v>0</v>
      </c>
    </row>
    <row r="26" spans="1:8" x14ac:dyDescent="0.35">
      <c r="B26" s="6" t="s">
        <v>33</v>
      </c>
      <c r="C26" s="2">
        <f>COUNTIF(C1:C21, "na")</f>
        <v>4</v>
      </c>
      <c r="D26" s="2">
        <f>COUNTIF(D1:D21, "na")</f>
        <v>0</v>
      </c>
    </row>
    <row r="27" spans="1:8" x14ac:dyDescent="0.35">
      <c r="C27" s="2"/>
      <c r="D27" s="2"/>
    </row>
    <row r="29" spans="1:8" x14ac:dyDescent="0.35">
      <c r="B29" t="s">
        <v>32</v>
      </c>
      <c r="C29">
        <f>SUM(C23:C27)</f>
        <v>16</v>
      </c>
      <c r="D29">
        <f>SUM(D23:D27)</f>
        <v>0</v>
      </c>
    </row>
  </sheetData>
  <mergeCells count="7">
    <mergeCell ref="G3:G4"/>
    <mergeCell ref="H3:H4"/>
    <mergeCell ref="A3:B3"/>
    <mergeCell ref="C3:C4"/>
    <mergeCell ref="D3:D4"/>
    <mergeCell ref="E3:E4"/>
    <mergeCell ref="F3:F4"/>
  </mergeCells>
  <conditionalFormatting sqref="B23">
    <cfRule type="colorScale" priority="35">
      <colorScale>
        <cfvo type="min"/>
        <cfvo type="max"/>
        <color theme="9"/>
        <color theme="9" tint="0.79998168889431442"/>
      </colorScale>
    </cfRule>
    <cfRule type="cellIs" dxfId="19" priority="36" operator="equal">
      <formula>"non"</formula>
    </cfRule>
  </conditionalFormatting>
  <conditionalFormatting sqref="B23:B25">
    <cfRule type="cellIs" dxfId="18" priority="18" operator="equal">
      <formula>"non"</formula>
    </cfRule>
  </conditionalFormatting>
  <conditionalFormatting sqref="B23:B26">
    <cfRule type="cellIs" dxfId="17" priority="1" operator="equal">
      <formula>"un peu"</formula>
    </cfRule>
    <cfRule type="cellIs" dxfId="16" priority="2" operator="equal">
      <formula>"PMF"</formula>
    </cfRule>
    <cfRule type="cellIs" dxfId="15" priority="3" operator="equal">
      <formula>"na"</formula>
    </cfRule>
    <cfRule type="cellIs" dxfId="14" priority="4" operator="equal">
      <formula>"améliorable"</formula>
    </cfRule>
    <cfRule type="cellIs" dxfId="13" priority="5" operator="equal">
      <formula>"ok"</formula>
    </cfRule>
    <cfRule type="cellIs" dxfId="12" priority="7" operator="equal">
      <formula>"NA"</formula>
    </cfRule>
  </conditionalFormatting>
  <conditionalFormatting sqref="B24">
    <cfRule type="cellIs" dxfId="11" priority="15" operator="equal">
      <formula>"non"</formula>
    </cfRule>
    <cfRule type="colorScale" priority="17">
      <colorScale>
        <cfvo type="min"/>
        <cfvo type="max"/>
        <color theme="9"/>
        <color theme="9" tint="0.79998168889431442"/>
      </colorScale>
    </cfRule>
  </conditionalFormatting>
  <conditionalFormatting sqref="B25">
    <cfRule type="colorScale" priority="26">
      <colorScale>
        <cfvo type="min"/>
        <cfvo type="max"/>
        <color theme="9"/>
        <color theme="9" tint="0.79998168889431442"/>
      </colorScale>
    </cfRule>
    <cfRule type="cellIs" dxfId="10" priority="27" operator="equal">
      <formula>"non"</formula>
    </cfRule>
  </conditionalFormatting>
  <conditionalFormatting sqref="B26">
    <cfRule type="cellIs" dxfId="9" priority="6" operator="equal">
      <formula>"non"</formula>
    </cfRule>
    <cfRule type="colorScale" priority="8">
      <colorScale>
        <cfvo type="min"/>
        <cfvo type="max"/>
        <color theme="9"/>
        <color theme="9" tint="0.79998168889431442"/>
      </colorScale>
    </cfRule>
    <cfRule type="cellIs" dxfId="8" priority="9" operator="equal">
      <formula>"non"</formula>
    </cfRule>
  </conditionalFormatting>
  <conditionalFormatting sqref="C5:D21">
    <cfRule type="cellIs" dxfId="7" priority="37" operator="equal">
      <formula>"un peu"</formula>
    </cfRule>
    <cfRule type="cellIs" dxfId="6" priority="38" operator="equal">
      <formula>"PMF"</formula>
    </cfRule>
    <cfRule type="cellIs" dxfId="5" priority="39" operator="equal">
      <formula>"na"</formula>
    </cfRule>
    <cfRule type="cellIs" dxfId="4" priority="40" operator="equal">
      <formula>"améliorable"</formula>
    </cfRule>
    <cfRule type="cellIs" dxfId="3" priority="41" operator="equal">
      <formula>"ok"</formula>
    </cfRule>
    <cfRule type="cellIs" dxfId="2" priority="42" operator="equal">
      <formula>"non"</formula>
    </cfRule>
    <cfRule type="colorScale" priority="186">
      <colorScale>
        <cfvo type="min"/>
        <cfvo type="max"/>
        <color theme="9"/>
        <color theme="9" tint="0.79998168889431442"/>
      </colorScale>
    </cfRule>
    <cfRule type="cellIs" dxfId="1" priority="187" operator="equal">
      <formula>"non"</formula>
    </cfRule>
  </conditionalFormatting>
  <conditionalFormatting sqref="C5:D22 C24:D127">
    <cfRule type="cellIs" dxfId="0" priority="43" operator="equal">
      <formula>"NA"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4e169f-0d6e-43ad-a053-6564609301d2">
      <Terms xmlns="http://schemas.microsoft.com/office/infopath/2007/PartnerControls"/>
    </lcf76f155ced4ddcb4097134ff3c332f>
    <TaxCatchAll xmlns="4b409d8d-bc18-4f2d-a495-bebb0e3f27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058A6506AE643952483D8F649C5D7" ma:contentTypeVersion="15" ma:contentTypeDescription="Create a new document." ma:contentTypeScope="" ma:versionID="8f6a1d4368ed922f82c70fe24d320daa">
  <xsd:schema xmlns:xsd="http://www.w3.org/2001/XMLSchema" xmlns:xs="http://www.w3.org/2001/XMLSchema" xmlns:p="http://schemas.microsoft.com/office/2006/metadata/properties" xmlns:ns2="4f4e169f-0d6e-43ad-a053-6564609301d2" xmlns:ns3="4b409d8d-bc18-4f2d-a495-bebb0e3f2748" targetNamespace="http://schemas.microsoft.com/office/2006/metadata/properties" ma:root="true" ma:fieldsID="1c3794756f282c659db1ec1bcb1635ae" ns2:_="" ns3:_="">
    <xsd:import namespace="4f4e169f-0d6e-43ad-a053-6564609301d2"/>
    <xsd:import namespace="4b409d8d-bc18-4f2d-a495-bebb0e3f27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e169f-0d6e-43ad-a053-6564609301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99b3629-034e-40d8-81e2-b8c7a4d868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09d8d-bc18-4f2d-a495-bebb0e3f27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b5f5d31-38ca-4435-850b-26dac7f9773f}" ma:internalName="TaxCatchAll" ma:showField="CatchAllData" ma:web="4b409d8d-bc18-4f2d-a495-bebb0e3f27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D0E090-4B9F-47E8-95D8-AAACE6118B9D}">
  <ds:schemaRefs>
    <ds:schemaRef ds:uri="http://schemas.microsoft.com/office/2006/metadata/properties"/>
    <ds:schemaRef ds:uri="http://schemas.microsoft.com/office/infopath/2007/PartnerControls"/>
    <ds:schemaRef ds:uri="4f4e169f-0d6e-43ad-a053-6564609301d2"/>
    <ds:schemaRef ds:uri="4b409d8d-bc18-4f2d-a495-bebb0e3f2748"/>
  </ds:schemaRefs>
</ds:datastoreItem>
</file>

<file path=customXml/itemProps2.xml><?xml version="1.0" encoding="utf-8"?>
<ds:datastoreItem xmlns:ds="http://schemas.openxmlformats.org/officeDocument/2006/customXml" ds:itemID="{7B44EC4C-3755-4EFC-AB25-133FC54525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ABE2B-46B4-4CC2-A647-600177D48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e169f-0d6e-43ad-a053-6564609301d2"/>
    <ds:schemaRef ds:uri="4b409d8d-bc18-4f2d-a495-bebb0e3f27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Pierre-Alain ZAPHA</dc:creator>
  <cp:lastModifiedBy>Melda Gönen</cp:lastModifiedBy>
  <dcterms:created xsi:type="dcterms:W3CDTF">2024-12-12T12:31:47Z</dcterms:created>
  <dcterms:modified xsi:type="dcterms:W3CDTF">2026-05-20T08:16:31Z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0x010100129058A6506AE643952483D8F649C5D7</vt:lpwstr>
  </property>
</Properties>
</file>